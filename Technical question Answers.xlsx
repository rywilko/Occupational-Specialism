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564_shrewsbury_ac_uk/Documents/OSP/"/>
    </mc:Choice>
  </mc:AlternateContent>
  <xr:revisionPtr revIDLastSave="171" documentId="8_{6D2B52CD-0A05-4073-B80F-866EAE9C2C31}" xr6:coauthVersionLast="47" xr6:coauthVersionMax="47" xr10:uidLastSave="{DA529E67-0A24-41FF-B89D-3837051F907D}"/>
  <bookViews>
    <workbookView xWindow="-120" yWindow="-120" windowWidth="29040" windowHeight="15720" xr2:uid="{D7020AC9-1183-4016-B5E3-798360BFF4C7}"/>
  </bookViews>
  <sheets>
    <sheet name="Untitled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6" i="1"/>
  <c r="C51" i="1"/>
  <c r="C52" i="1"/>
  <c r="C46" i="1"/>
  <c r="C47" i="1"/>
  <c r="C42" i="1"/>
  <c r="C41" i="1"/>
  <c r="C37" i="1"/>
  <c r="C36" i="1"/>
  <c r="C32" i="1"/>
  <c r="C31" i="1"/>
  <c r="C26" i="1"/>
  <c r="C27" i="1"/>
  <c r="C21" i="1"/>
  <c r="C22" i="1"/>
  <c r="C17" i="1"/>
  <c r="C16" i="1"/>
  <c r="C11" i="1"/>
  <c r="C12" i="1"/>
</calcChain>
</file>

<file path=xl/sharedStrings.xml><?xml version="1.0" encoding="utf-8"?>
<sst xmlns="http://schemas.openxmlformats.org/spreadsheetml/2006/main" count="89" uniqueCount="32">
  <si>
    <t>Timestamp</t>
  </si>
  <si>
    <t>Is the code robust?</t>
  </si>
  <si>
    <t>Is the code formatted correctly?</t>
  </si>
  <si>
    <t>Is the code easy to read?</t>
  </si>
  <si>
    <t>Does CSS code meet CSS 5 Standards?</t>
  </si>
  <si>
    <t>Does HTML code meet HTML 6 Standards?</t>
  </si>
  <si>
    <t>Is the code clean?</t>
  </si>
  <si>
    <t>Does the code have enough comments?</t>
  </si>
  <si>
    <t>Does code have the correct comments?</t>
  </si>
  <si>
    <t>Was there any pieces of code that you did not understand?</t>
  </si>
  <si>
    <t>What improvements could be made to the code</t>
  </si>
  <si>
    <t>2026/01/15 12:04:51 PM GMT</t>
  </si>
  <si>
    <t>Yes</t>
  </si>
  <si>
    <t>No</t>
  </si>
  <si>
    <t>good</t>
  </si>
  <si>
    <t>2026/01/15 12:06:36 PM GMT</t>
  </si>
  <si>
    <t>none</t>
  </si>
  <si>
    <t>2026/01/15 12:07:00 PM GMT</t>
  </si>
  <si>
    <t>more comments</t>
  </si>
  <si>
    <t>2026/01/15 12:07:54 PM GMT</t>
  </si>
  <si>
    <t>Better information in comments</t>
  </si>
  <si>
    <t>Is the code formatted correctly</t>
  </si>
  <si>
    <t>CSS5 Standards?</t>
  </si>
  <si>
    <t>HTML6 Standards?</t>
  </si>
  <si>
    <t>Is code clean?</t>
  </si>
  <si>
    <t>Code has enough comments?</t>
  </si>
  <si>
    <t>Code has correct comments?</t>
  </si>
  <si>
    <t>Any code that’s not understandable?</t>
  </si>
  <si>
    <t>What Improvements can be made?</t>
  </si>
  <si>
    <t>None</t>
  </si>
  <si>
    <t>Better commentation</t>
  </si>
  <si>
    <t>Better Commentation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</si>
</sst>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99735498179006"/>
          <c:y val="2.3494849632962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form'!$C$10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form'!$B$11:$B$12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form'!$C$11:$C$12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B-4A10-AA35-C71C7D60C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363024"/>
        <c:axId val="333361584"/>
      </c:barChart>
      <c:catAx>
        <c:axId val="33336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61584"/>
        <c:crosses val="autoZero"/>
        <c:auto val="1"/>
        <c:lblAlgn val="ctr"/>
        <c:lblOffset val="100"/>
        <c:noMultiLvlLbl val="0"/>
      </c:catAx>
      <c:valAx>
        <c:axId val="3333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6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form'!$C$15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form'!$B$16:$B$17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form'!$C$16:$C$17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2-462C-8E00-C14CD248F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411104"/>
        <c:axId val="335412544"/>
      </c:barChart>
      <c:catAx>
        <c:axId val="33541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2544"/>
        <c:crosses val="autoZero"/>
        <c:auto val="1"/>
        <c:lblAlgn val="ctr"/>
        <c:lblOffset val="100"/>
        <c:noMultiLvlLbl val="0"/>
      </c:catAx>
      <c:valAx>
        <c:axId val="33541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form'!$C$20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form'!$B$21:$B$22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form'!$C$21:$C$22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1-4FCB-80EE-88D502BFD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139824"/>
        <c:axId val="286137424"/>
      </c:barChart>
      <c:catAx>
        <c:axId val="28613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7424"/>
        <c:crosses val="autoZero"/>
        <c:auto val="1"/>
        <c:lblAlgn val="ctr"/>
        <c:lblOffset val="100"/>
        <c:noMultiLvlLbl val="0"/>
      </c:catAx>
      <c:valAx>
        <c:axId val="2861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5771791683934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form'!$C$25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form'!$B$26:$B$27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form'!$C$26:$C$27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1-46D0-A4DC-5A727128C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170064"/>
        <c:axId val="278779184"/>
      </c:barChart>
      <c:catAx>
        <c:axId val="41217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79184"/>
        <c:crosses val="autoZero"/>
        <c:auto val="1"/>
        <c:lblAlgn val="ctr"/>
        <c:lblOffset val="100"/>
        <c:noMultiLvlLbl val="0"/>
      </c:catAx>
      <c:valAx>
        <c:axId val="2787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17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form'!$C$30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form'!$B$31:$B$32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form'!$C$31:$C$32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F-4C74-A257-FB2067C87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380992"/>
        <c:axId val="278780144"/>
      </c:barChart>
      <c:catAx>
        <c:axId val="4153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80144"/>
        <c:crosses val="autoZero"/>
        <c:auto val="1"/>
        <c:lblAlgn val="ctr"/>
        <c:lblOffset val="100"/>
        <c:noMultiLvlLbl val="0"/>
      </c:catAx>
      <c:valAx>
        <c:axId val="2787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form'!$C$35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form'!$B$36:$B$37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form'!$C$36:$C$37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F-4CBB-A35C-1FBFC87FE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342048"/>
        <c:axId val="322342528"/>
      </c:barChart>
      <c:catAx>
        <c:axId val="32234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42528"/>
        <c:crosses val="autoZero"/>
        <c:auto val="1"/>
        <c:lblAlgn val="ctr"/>
        <c:lblOffset val="100"/>
        <c:noMultiLvlLbl val="0"/>
      </c:catAx>
      <c:valAx>
        <c:axId val="3223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4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form'!$C$40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form'!$B$41:$B$42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form'!$C$41:$C$42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D-4987-80C5-5502FCAB5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161504"/>
        <c:axId val="511162944"/>
      </c:barChart>
      <c:catAx>
        <c:axId val="5111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62944"/>
        <c:crosses val="autoZero"/>
        <c:auto val="1"/>
        <c:lblAlgn val="ctr"/>
        <c:lblOffset val="100"/>
        <c:noMultiLvlLbl val="0"/>
      </c:catAx>
      <c:valAx>
        <c:axId val="5111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6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form'!$C$45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form'!$B$46:$B$47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form'!$C$46:$C$47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B-4E8F-82DF-BDC1F8AB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381952"/>
        <c:axId val="415383392"/>
      </c:barChart>
      <c:catAx>
        <c:axId val="41538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3392"/>
        <c:crosses val="autoZero"/>
        <c:auto val="1"/>
        <c:lblAlgn val="ctr"/>
        <c:lblOffset val="100"/>
        <c:noMultiLvlLbl val="0"/>
      </c:catAx>
      <c:valAx>
        <c:axId val="41538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10123734533183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form'!$C$50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form'!$B$51:$B$52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'Untitled form'!$C$51:$C$52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C-4BB1-8221-9F8E62F22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124240"/>
        <c:axId val="513121360"/>
      </c:barChart>
      <c:catAx>
        <c:axId val="5131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21360"/>
        <c:crosses val="autoZero"/>
        <c:auto val="1"/>
        <c:lblAlgn val="ctr"/>
        <c:lblOffset val="100"/>
        <c:noMultiLvlLbl val="0"/>
      </c:catAx>
      <c:valAx>
        <c:axId val="5131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2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'Untitled form'!$C$55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'Untitled form'!$B$56:$B$57</c:f>
              <c:strCache>
                <c:ptCount val="2"/>
                <c:pt idx="0">
                  <c:v>None</c:v>
                </c:pt>
                <c:pt idx="1">
                  <c:v>Better Commentation</c:v>
                </c:pt>
              </c:strCache>
            </c:strRef>
          </c:cat>
          <c:val>
            <c:numRef>
              <c:f>'Untitled form'!$C$56:$C$57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E-4BAF-BDD5-034C1EEFA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466144"/>
        <c:axId val="517468544"/>
      </c:barChart>
      <c:catAx>
        <c:axId val="51746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68544"/>
        <c:crosses val="autoZero"/>
        <c:auto val="1"/>
        <c:lblAlgn val="ctr"/>
        <c:lblOffset val="100"/>
        <c:noMultiLvlLbl val="0"/>
      </c:catAx>
      <c:valAx>
        <c:axId val="5174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1323975</xdr:colOff>
      <xdr:row>4</xdr:row>
      <xdr:rowOff>119061</xdr:rowOff>
    </xdr:from>
    <xdr:to>
      <xdr:col>4</xdr:col>
      <xdr:colOff>190500</xdr:colOff>
      <xdr:row>10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FFC30-4583-3613-7B10-BC6A2B9FF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238126</xdr:colOff>
      <xdr:row>9</xdr:row>
      <xdr:rowOff>176212</xdr:rowOff>
    </xdr:from>
    <xdr:to>
      <xdr:col>4</xdr:col>
      <xdr:colOff>400050</xdr:colOff>
      <xdr:row>15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6F5752-9623-38BE-0CFB-A87438103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333374</xdr:colOff>
      <xdr:row>14</xdr:row>
      <xdr:rowOff>157161</xdr:rowOff>
    </xdr:from>
    <xdr:to>
      <xdr:col>5</xdr:col>
      <xdr:colOff>28575</xdr:colOff>
      <xdr:row>20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E7548F-1E0A-99B1-A99C-157865570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219076</xdr:colOff>
      <xdr:row>19</xdr:row>
      <xdr:rowOff>61912</xdr:rowOff>
    </xdr:from>
    <xdr:to>
      <xdr:col>5</xdr:col>
      <xdr:colOff>419100</xdr:colOff>
      <xdr:row>25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F17714-13BD-5C74-310F-0B71FF841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314324</xdr:colOff>
      <xdr:row>24</xdr:row>
      <xdr:rowOff>100012</xdr:rowOff>
    </xdr:from>
    <xdr:to>
      <xdr:col>5</xdr:col>
      <xdr:colOff>438149</xdr:colOff>
      <xdr:row>30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8925EA-1F20-DE2B-8177-FDB7BE026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314325</xdr:colOff>
      <xdr:row>29</xdr:row>
      <xdr:rowOff>176212</xdr:rowOff>
    </xdr:from>
    <xdr:to>
      <xdr:col>5</xdr:col>
      <xdr:colOff>28575</xdr:colOff>
      <xdr:row>35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2A140F-B734-FF2C-ED0D-CB1512D21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171450</xdr:colOff>
      <xdr:row>35</xdr:row>
      <xdr:rowOff>71437</xdr:rowOff>
    </xdr:from>
    <xdr:to>
      <xdr:col>5</xdr:col>
      <xdr:colOff>38100</xdr:colOff>
      <xdr:row>40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509F5A-1D8E-4DBD-2B62-FDE44CC0C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228600</xdr:colOff>
      <xdr:row>40</xdr:row>
      <xdr:rowOff>71437</xdr:rowOff>
    </xdr:from>
    <xdr:to>
      <xdr:col>5</xdr:col>
      <xdr:colOff>76200</xdr:colOff>
      <xdr:row>45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3449E7-ED8C-6F33-F783-7EFD92AE1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342900</xdr:colOff>
      <xdr:row>45</xdr:row>
      <xdr:rowOff>33337</xdr:rowOff>
    </xdr:from>
    <xdr:to>
      <xdr:col>5</xdr:col>
      <xdr:colOff>47625</xdr:colOff>
      <xdr:row>49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98FB27-31F4-5399-CBA4-357145F93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95250</xdr:colOff>
      <xdr:row>51</xdr:row>
      <xdr:rowOff>176211</xdr:rowOff>
    </xdr:from>
    <xdr:to>
      <xdr:col>7</xdr:col>
      <xdr:colOff>228600</xdr:colOff>
      <xdr:row>59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CE7F8A-89B7-2597-6D57-ED0102BBE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2244-848A-470D-8565-0B3243A0CFBC}">
  <dimension ref="A1:L57"/>
  <sheetViews>
    <sheetView tabSelected="1" topLeftCell="A40" workbookViewId="0">
      <selection activeCell="P73" sqref="P73"/>
    </sheetView>
  </sheetViews>
  <sheetFormatPr defaultRowHeight="15" x14ac:dyDescent="0.25"/>
  <cols>
    <col min="2" max="2" width="20.28515625" customWidth="1"/>
    <col min="3" max="6" width="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13</v>
      </c>
      <c r="I2" t="s">
        <v>13</v>
      </c>
      <c r="J2" t="s">
        <v>12</v>
      </c>
      <c r="K2" t="s">
        <v>14</v>
      </c>
      <c r="L2" t="s">
        <v>29</v>
      </c>
    </row>
    <row r="3" spans="1:12" x14ac:dyDescent="0.25">
      <c r="A3" t="s">
        <v>15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13</v>
      </c>
      <c r="K3" t="s">
        <v>16</v>
      </c>
      <c r="L3" t="s">
        <v>29</v>
      </c>
    </row>
    <row r="4" spans="1:12" x14ac:dyDescent="0.25">
      <c r="A4" t="s">
        <v>17</v>
      </c>
      <c r="B4" t="s">
        <v>12</v>
      </c>
      <c r="C4" t="s">
        <v>12</v>
      </c>
      <c r="D4" t="s">
        <v>13</v>
      </c>
      <c r="E4" t="s">
        <v>12</v>
      </c>
      <c r="F4" t="s">
        <v>12</v>
      </c>
      <c r="G4" t="s">
        <v>12</v>
      </c>
      <c r="H4" t="s">
        <v>13</v>
      </c>
      <c r="I4" t="s">
        <v>13</v>
      </c>
      <c r="J4" t="s">
        <v>12</v>
      </c>
      <c r="K4" t="s">
        <v>18</v>
      </c>
      <c r="L4" t="s">
        <v>30</v>
      </c>
    </row>
    <row r="5" spans="1:12" x14ac:dyDescent="0.25">
      <c r="A5" t="s">
        <v>19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13</v>
      </c>
      <c r="J5" t="s">
        <v>13</v>
      </c>
      <c r="K5" t="s">
        <v>20</v>
      </c>
      <c r="L5" t="s">
        <v>30</v>
      </c>
    </row>
    <row r="10" spans="1:12" x14ac:dyDescent="0.25">
      <c r="B10" s="1" t="s">
        <v>1</v>
      </c>
      <c r="C10" s="1"/>
    </row>
    <row r="11" spans="1:12" x14ac:dyDescent="0.25">
      <c r="B11" s="1" t="s">
        <v>12</v>
      </c>
      <c r="C11" s="1">
        <f>COUNTIF(B2:B5, "Yes")</f>
        <v>4</v>
      </c>
    </row>
    <row r="12" spans="1:12" x14ac:dyDescent="0.25">
      <c r="B12" s="1" t="s">
        <v>13</v>
      </c>
      <c r="C12" s="1">
        <f>COUNTIF(B2:B5,"No")</f>
        <v>0</v>
      </c>
    </row>
    <row r="15" spans="1:12" x14ac:dyDescent="0.25">
      <c r="B15" s="1" t="s">
        <v>21</v>
      </c>
      <c r="C15" s="1"/>
    </row>
    <row r="16" spans="1:12" x14ac:dyDescent="0.25">
      <c r="B16" s="1" t="s">
        <v>12</v>
      </c>
      <c r="C16" s="1">
        <f>COUNTIF(C2:C5, "Yes")</f>
        <v>4</v>
      </c>
    </row>
    <row r="17" spans="2:3" x14ac:dyDescent="0.25">
      <c r="B17" s="1" t="s">
        <v>13</v>
      </c>
      <c r="C17" s="1">
        <f>COUNTIF(C2:C5, "No")</f>
        <v>0</v>
      </c>
    </row>
    <row r="20" spans="2:3" x14ac:dyDescent="0.25">
      <c r="B20" s="1" t="s">
        <v>3</v>
      </c>
      <c r="C20" s="1"/>
    </row>
    <row r="21" spans="2:3" x14ac:dyDescent="0.25">
      <c r="B21" s="1" t="s">
        <v>12</v>
      </c>
      <c r="C21" s="1">
        <f>COUNTIF(D2:D5, "Yes")</f>
        <v>3</v>
      </c>
    </row>
    <row r="22" spans="2:3" x14ac:dyDescent="0.25">
      <c r="B22" s="1" t="s">
        <v>13</v>
      </c>
      <c r="C22" s="1">
        <f>COUNTIF(D2:D5, "No")</f>
        <v>1</v>
      </c>
    </row>
    <row r="25" spans="2:3" x14ac:dyDescent="0.25">
      <c r="B25" s="1" t="s">
        <v>22</v>
      </c>
      <c r="C25" s="1"/>
    </row>
    <row r="26" spans="2:3" x14ac:dyDescent="0.25">
      <c r="B26" s="1" t="s">
        <v>12</v>
      </c>
      <c r="C26" s="1">
        <f>COUNTIF(E2:E5, "Yes")</f>
        <v>4</v>
      </c>
    </row>
    <row r="27" spans="2:3" x14ac:dyDescent="0.25">
      <c r="B27" s="1" t="s">
        <v>13</v>
      </c>
      <c r="C27" s="1">
        <f>COUNTIF(E2:E5, "No")</f>
        <v>0</v>
      </c>
    </row>
    <row r="30" spans="2:3" x14ac:dyDescent="0.25">
      <c r="B30" s="1" t="s">
        <v>23</v>
      </c>
      <c r="C30" s="1"/>
    </row>
    <row r="31" spans="2:3" x14ac:dyDescent="0.25">
      <c r="B31" s="1" t="s">
        <v>12</v>
      </c>
      <c r="C31" s="1">
        <f>COUNTIF(F2:F5, "Yes")</f>
        <v>4</v>
      </c>
    </row>
    <row r="32" spans="2:3" x14ac:dyDescent="0.25">
      <c r="B32" s="1" t="s">
        <v>13</v>
      </c>
      <c r="C32" s="1">
        <f>COUNTIF(F2:F5, "No")</f>
        <v>0</v>
      </c>
    </row>
    <row r="35" spans="2:3" x14ac:dyDescent="0.25">
      <c r="B35" s="1" t="s">
        <v>24</v>
      </c>
      <c r="C35" s="1"/>
    </row>
    <row r="36" spans="2:3" x14ac:dyDescent="0.25">
      <c r="B36" s="1" t="s">
        <v>12</v>
      </c>
      <c r="C36" s="1">
        <f>COUNTIF(G2:G5, "Yes")</f>
        <v>4</v>
      </c>
    </row>
    <row r="37" spans="2:3" x14ac:dyDescent="0.25">
      <c r="B37" s="1" t="s">
        <v>13</v>
      </c>
      <c r="C37" s="1">
        <f>COUNTIF(G2:G5, "No")</f>
        <v>0</v>
      </c>
    </row>
    <row r="40" spans="2:3" x14ac:dyDescent="0.25">
      <c r="B40" s="1" t="s">
        <v>25</v>
      </c>
      <c r="C40" s="1"/>
    </row>
    <row r="41" spans="2:3" x14ac:dyDescent="0.25">
      <c r="B41" s="1" t="s">
        <v>12</v>
      </c>
      <c r="C41" s="1">
        <f>COUNTIF(H2:H5, "Yes")</f>
        <v>2</v>
      </c>
    </row>
    <row r="42" spans="2:3" x14ac:dyDescent="0.25">
      <c r="B42" s="1" t="s">
        <v>13</v>
      </c>
      <c r="C42" s="1">
        <f>COUNTIF(H2:H5, "No")</f>
        <v>2</v>
      </c>
    </row>
    <row r="45" spans="2:3" x14ac:dyDescent="0.25">
      <c r="B45" s="1" t="s">
        <v>26</v>
      </c>
      <c r="C45" s="1"/>
    </row>
    <row r="46" spans="2:3" x14ac:dyDescent="0.25">
      <c r="B46" s="1" t="s">
        <v>12</v>
      </c>
      <c r="C46" s="1">
        <f>COUNTIF(I2:I5, "Yes")</f>
        <v>1</v>
      </c>
    </row>
    <row r="47" spans="2:3" x14ac:dyDescent="0.25">
      <c r="B47" s="1" t="s">
        <v>13</v>
      </c>
      <c r="C47" s="1">
        <f>COUNTIF(I2:I5, "No")</f>
        <v>3</v>
      </c>
    </row>
    <row r="50" spans="2:4" x14ac:dyDescent="0.25">
      <c r="B50" s="1" t="s">
        <v>27</v>
      </c>
      <c r="C50" s="1"/>
      <c r="D50" s="1"/>
    </row>
    <row r="51" spans="2:4" x14ac:dyDescent="0.25">
      <c r="B51" s="1" t="s">
        <v>12</v>
      </c>
      <c r="C51" s="1">
        <f>COUNTIF(J2:J5, "Yes")</f>
        <v>2</v>
      </c>
      <c r="D51" s="2"/>
    </row>
    <row r="52" spans="2:4" x14ac:dyDescent="0.25">
      <c r="B52" s="1" t="s">
        <v>13</v>
      </c>
      <c r="C52" s="1">
        <f>COUNTIF(J2:J5, "No")</f>
        <v>2</v>
      </c>
      <c r="D52" s="2"/>
    </row>
    <row r="55" spans="2:4" x14ac:dyDescent="0.25">
      <c r="B55" s="1" t="s">
        <v>28</v>
      </c>
      <c r="C55" s="1"/>
      <c r="D55" s="1"/>
    </row>
    <row r="56" spans="2:4" x14ac:dyDescent="0.25">
      <c r="B56" s="1" t="s">
        <v>29</v>
      </c>
      <c r="C56" s="1">
        <f>COUNTIF(L2:L5, "None")</f>
        <v>2</v>
      </c>
    </row>
    <row r="57" spans="2:4" x14ac:dyDescent="0.25">
      <c r="B57" s="1" t="s">
        <v>31</v>
      </c>
      <c r="C57" s="1">
        <f>COUNTIF(L2:L5, "Better commentation")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24254564 - Ryan Wilkinson</dc:creator>
  <cp:lastModifiedBy>24254564 - Ryan Wilkinson</cp:lastModifiedBy>
  <dcterms:created xsi:type="dcterms:W3CDTF">2026-01-23T15:12:24Z</dcterms:created>
  <dcterms:modified xsi:type="dcterms:W3CDTF">2026-01-23T15:37:50Z</dcterms:modified>
</cp:coreProperties>
</file>